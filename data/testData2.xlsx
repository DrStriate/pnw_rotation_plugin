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ia\Projects\Geology\rotationModels\"/>
    </mc:Choice>
  </mc:AlternateContent>
  <xr:revisionPtr revIDLastSave="0" documentId="13_ncr:1_{87AF63B6-CF90-4A59-AE7F-742DFC4843AF}" xr6:coauthVersionLast="47" xr6:coauthVersionMax="47" xr10:uidLastSave="{00000000-0000-0000-0000-000000000000}"/>
  <bookViews>
    <workbookView xWindow="-96" yWindow="-96" windowWidth="23232" windowHeight="13872" xr2:uid="{94D0A7CB-74BF-4AFF-ABAF-BCB57818AD34}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C11" i="1"/>
  <c r="B12" i="1"/>
  <c r="B11" i="1"/>
  <c r="G7" i="1"/>
  <c r="G6" i="1"/>
  <c r="G5" i="1"/>
  <c r="G4" i="1"/>
  <c r="G3" i="1"/>
  <c r="G2" i="1"/>
  <c r="F5" i="1" l="1"/>
  <c r="H5" i="1" s="1"/>
  <c r="I5" i="1" s="1"/>
  <c r="J5" i="1" s="1"/>
  <c r="K5" i="1" s="1"/>
  <c r="L5" i="1" s="1"/>
  <c r="M5" i="1" s="1"/>
  <c r="F3" i="1"/>
  <c r="H3" i="1" s="1"/>
  <c r="I3" i="1" s="1"/>
  <c r="J3" i="1" s="1"/>
  <c r="K3" i="1" s="1"/>
  <c r="L3" i="1" s="1"/>
  <c r="M3" i="1" s="1"/>
  <c r="F2" i="1"/>
  <c r="H2" i="1" s="1"/>
  <c r="Q2" i="1" s="1"/>
  <c r="F7" i="1"/>
  <c r="H7" i="1" s="1"/>
  <c r="I7" i="1" s="1"/>
  <c r="F6" i="1"/>
  <c r="H6" i="1" s="1"/>
  <c r="I6" i="1" s="1"/>
  <c r="J6" i="1" s="1"/>
  <c r="K6" i="1" s="1"/>
  <c r="L6" i="1" s="1"/>
  <c r="M6" i="1" s="1"/>
  <c r="F4" i="1"/>
  <c r="H4" i="1" s="1"/>
  <c r="Q4" i="1" s="1"/>
  <c r="O6" i="1" l="1"/>
  <c r="O3" i="1"/>
  <c r="I2" i="1"/>
  <c r="P2" i="1" s="1"/>
  <c r="H8" i="1"/>
  <c r="Q3" i="1"/>
  <c r="Q7" i="1"/>
  <c r="P6" i="1"/>
  <c r="P3" i="1"/>
  <c r="J7" i="1"/>
  <c r="P7" i="1"/>
  <c r="Q5" i="1"/>
  <c r="O5" i="1"/>
  <c r="I4" i="1"/>
  <c r="I8" i="1" s="1"/>
  <c r="C13" i="1" s="1"/>
  <c r="P5" i="1"/>
  <c r="Q6" i="1"/>
  <c r="J2" i="1"/>
  <c r="O2" i="1" s="1"/>
  <c r="Q8" i="1" l="1"/>
  <c r="E13" i="1" s="1"/>
  <c r="K7" i="1"/>
  <c r="L7" i="1" s="1"/>
  <c r="M7" i="1" s="1"/>
  <c r="O7" i="1"/>
  <c r="J4" i="1"/>
  <c r="P4" i="1"/>
  <c r="P8" i="1" s="1"/>
  <c r="E12" i="1" s="1"/>
  <c r="J8" i="1"/>
  <c r="K2" i="1"/>
  <c r="B13" i="1" l="1"/>
  <c r="C12" i="1"/>
  <c r="K4" i="1"/>
  <c r="L4" i="1" s="1"/>
  <c r="M4" i="1" s="1"/>
  <c r="O4" i="1"/>
  <c r="O8" i="1" s="1"/>
  <c r="E11" i="1" s="1"/>
  <c r="L2" i="1"/>
  <c r="K8" i="1" l="1"/>
  <c r="L8" i="1"/>
  <c r="M2" i="1"/>
  <c r="M8" i="1" s="1"/>
  <c r="A11" i="1" s="1"/>
  <c r="A12" i="1" l="1"/>
  <c r="A13" i="1"/>
  <c r="G11" i="1" l="1" a="1"/>
  <c r="G11" i="1" s="1"/>
  <c r="J24" i="1" l="1"/>
  <c r="G24" i="1"/>
  <c r="I24" i="1"/>
  <c r="L24" i="1"/>
  <c r="H24" i="1"/>
  <c r="F24" i="1"/>
  <c r="E24" i="1"/>
  <c r="K24" i="1"/>
  <c r="D24" i="1"/>
  <c r="C24" i="1"/>
  <c r="B24" i="1"/>
  <c r="J13" i="1"/>
  <c r="J12" i="1" s="1"/>
  <c r="J11" i="1"/>
  <c r="E15" i="1" a="1"/>
  <c r="E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<sst xmlns="http://schemas.openxmlformats.org/spreadsheetml/2006/main" count="30" uniqueCount="29">
  <si>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name</t>
  </si>
  <si>
    <t xml:space="preserve"> lat</t>
  </si>
  <si>
    <t xml:space="preserve"> long</t>
  </si>
  <si>
    <t xml:space="preserve"> R</t>
  </si>
  <si>
    <t>Pomona Saddle Mtns (PO)</t>
  </si>
  <si>
    <t>Ginko Flows Wanapum Basalt (G)</t>
  </si>
  <si>
    <t>Western Cascade Arc (WC)</t>
  </si>
  <si>
    <t>Oceanic intrusions / Siletzia-related (OI)</t>
  </si>
  <si>
    <t>Yamhill Basin / related units (YB)</t>
  </si>
  <si>
    <t>Tyee Formation (TF)</t>
  </si>
  <si>
    <t>T1</t>
  </si>
  <si>
    <t xml:space="preserve">T2 </t>
  </si>
  <si>
    <t>T3</t>
  </si>
  <si>
    <t>T4</t>
  </si>
  <si>
    <t>T5</t>
  </si>
  <si>
    <t>T6</t>
  </si>
  <si>
    <t>A</t>
  </si>
  <si>
    <t>b</t>
  </si>
  <si>
    <t>RT3</t>
  </si>
  <si>
    <t>RT2</t>
  </si>
  <si>
    <t>RT1</t>
  </si>
  <si>
    <t>x</t>
  </si>
  <si>
    <t>a</t>
  </si>
  <si>
    <t>w0</t>
  </si>
  <si>
    <t>T</t>
  </si>
  <si>
    <t>normal T</t>
  </si>
  <si>
    <t>Test b</t>
  </si>
  <si>
    <t>Normalized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</si>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</sst>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testData!$D$2:$D$7</c:f>
              <c:numCache>
                <c:formatCode>General</c:formatCode>
                <c:ptCount val="6"/>
                <c:pt idx="0">
                  <c:v>16</c:v>
                </c:pt>
                <c:pt idx="1">
                  <c:v>25</c:v>
                </c:pt>
                <c:pt idx="2">
                  <c:v>30</c:v>
                </c:pt>
                <c:pt idx="3">
                  <c:v>46</c:v>
                </c:pt>
                <c:pt idx="4">
                  <c:v>55</c:v>
                </c:pt>
                <c:pt idx="5">
                  <c:v>67.5</c:v>
                </c:pt>
              </c:numCache>
            </c:numRef>
          </c:xVal>
          <c:yVal>
            <c:numRef>
              <c:f>testData!$F$2:$F$7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25</c:v>
                </c:pt>
                <c:pt idx="3">
                  <c:v>31</c:v>
                </c:pt>
                <c:pt idx="4">
                  <c:v>38</c:v>
                </c:pt>
                <c:pt idx="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A-48F1-93B0-43B79897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127759"/>
        <c:axId val="796144559"/>
      </c:scatterChart>
      <c:valAx>
        <c:axId val="79612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44559"/>
        <c:crosses val="autoZero"/>
        <c:crossBetween val="midCat"/>
      </c:valAx>
      <c:valAx>
        <c:axId val="7961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2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9486111111111112"/>
          <c:w val="0.88380796150481189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testData!$B$23:$L$23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testData!$B$24:$L$24</c:f>
              <c:numCache>
                <c:formatCode>General</c:formatCode>
                <c:ptCount val="11"/>
                <c:pt idx="0">
                  <c:v>1.3784495386573781</c:v>
                </c:pt>
                <c:pt idx="1">
                  <c:v>1.4049416803979928</c:v>
                </c:pt>
                <c:pt idx="2">
                  <c:v>1.4225998471373724</c:v>
                </c:pt>
                <c:pt idx="3">
                  <c:v>1.4314240388755171</c:v>
                </c:pt>
                <c:pt idx="4">
                  <c:v>1.4314142556124265</c:v>
                </c:pt>
                <c:pt idx="5">
                  <c:v>1.422570497348101</c:v>
                </c:pt>
                <c:pt idx="6">
                  <c:v>1.4048927640825404</c:v>
                </c:pt>
                <c:pt idx="7">
                  <c:v>1.3783810558157448</c:v>
                </c:pt>
                <c:pt idx="8">
                  <c:v>1.343035372547714</c:v>
                </c:pt>
                <c:pt idx="9">
                  <c:v>1.2988557142784483</c:v>
                </c:pt>
                <c:pt idx="10">
                  <c:v>1.2458420810079474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3-4FFC-A8FB-90DAE2E1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011071"/>
        <c:axId val="1036012031"/>
      </c:lineChart>
      <c:catAx>
        <c:axId val="103601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12031"/>
        <c:crosses val="autoZero"/>
        <c:auto val="1"/>
        <c:lblAlgn val="ctr"/>
        <c:lblOffset val="100"/>
        <c:noMultiLvlLbl val="0"/>
      </c:catAx>
      <c:valAx>
        <c:axId val="10360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1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325755</xdr:colOff>
      <xdr:row>26</xdr:row>
      <xdr:rowOff>135255</xdr:rowOff>
    </xdr:from>
    <xdr:to>
      <xdr:col>13</xdr:col>
      <xdr:colOff>417195</xdr:colOff>
      <xdr:row>41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5127F-9E02-9C95-D2E5-4386ADFBD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1032510</xdr:colOff>
      <xdr:row>24</xdr:row>
      <xdr:rowOff>116205</xdr:rowOff>
    </xdr:from>
    <xdr:to>
      <xdr:col>6</xdr:col>
      <xdr:colOff>99060</xdr:colOff>
      <xdr:row>39</xdr:row>
      <xdr:rowOff>116205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9EE07-879B-AB5E-53ED-CFBE0EA71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9B67-D153-4935-A583-3915D0118892}">
  <dimension ref="A1:Q24"/>
  <sheetViews>
    <sheetView tabSelected="1" workbookViewId="0">
      <selection activeCell="O20" sqref="O20"/>
    </sheetView>
  </sheetViews>
  <sheetFormatPr defaultRowHeight="14.4" x14ac:dyDescent="0.55000000000000004"/>
  <cols>
    <col min="1" max="1" width="31.83984375" bestFit="1" customWidth="1"/>
    <col min="10" max="10" width="12.2617187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28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O1" t="s">
        <v>18</v>
      </c>
      <c r="P1" t="s">
        <v>19</v>
      </c>
      <c r="Q1" t="s">
        <v>20</v>
      </c>
    </row>
    <row r="2" spans="1:17" x14ac:dyDescent="0.55000000000000004">
      <c r="A2" t="s">
        <v>4</v>
      </c>
      <c r="B2">
        <v>46.807000000000002</v>
      </c>
      <c r="C2">
        <v>-119.55800000000001</v>
      </c>
      <c r="D2">
        <v>16</v>
      </c>
      <c r="E2">
        <v>12</v>
      </c>
      <c r="F2">
        <f t="shared" ref="F2:F7" si="0">E2/E$8</f>
        <v>12</v>
      </c>
      <c r="G2">
        <f t="shared" ref="G2:G7" si="1">D2/E2</f>
        <v>1.3333333333333333</v>
      </c>
      <c r="H2">
        <f t="shared" ref="H2:H7" si="2">F2</f>
        <v>12</v>
      </c>
      <c r="I2">
        <f t="shared" ref="I2:M7" si="3">H2*$F2</f>
        <v>144</v>
      </c>
      <c r="J2">
        <f t="shared" si="3"/>
        <v>1728</v>
      </c>
      <c r="K2">
        <f t="shared" si="3"/>
        <v>20736</v>
      </c>
      <c r="L2">
        <f t="shared" si="3"/>
        <v>248832</v>
      </c>
      <c r="M2">
        <f t="shared" si="3"/>
        <v>2985984</v>
      </c>
      <c r="O2">
        <f>D2*J2</f>
        <v>27648</v>
      </c>
      <c r="P2">
        <f>D2*I2</f>
        <v>2304</v>
      </c>
      <c r="Q2">
        <f>D2*H2</f>
        <v>192</v>
      </c>
    </row>
    <row r="3" spans="1:17" x14ac:dyDescent="0.55000000000000004">
      <c r="A3" t="s">
        <v>5</v>
      </c>
      <c r="B3">
        <v>0</v>
      </c>
      <c r="C3">
        <v>0</v>
      </c>
      <c r="D3">
        <v>25</v>
      </c>
      <c r="E3">
        <v>15</v>
      </c>
      <c r="F3">
        <f t="shared" si="0"/>
        <v>15</v>
      </c>
      <c r="G3">
        <f t="shared" si="1"/>
        <v>1.6666666666666667</v>
      </c>
      <c r="H3">
        <f t="shared" si="2"/>
        <v>15</v>
      </c>
      <c r="I3">
        <f t="shared" si="3"/>
        <v>225</v>
      </c>
      <c r="J3">
        <f t="shared" si="3"/>
        <v>3375</v>
      </c>
      <c r="K3">
        <f t="shared" si="3"/>
        <v>50625</v>
      </c>
      <c r="L3">
        <f t="shared" si="3"/>
        <v>759375</v>
      </c>
      <c r="M3">
        <f t="shared" si="3"/>
        <v>11390625</v>
      </c>
      <c r="O3">
        <f t="shared" ref="O3:O7" si="4">D3*J3</f>
        <v>84375</v>
      </c>
      <c r="P3">
        <f t="shared" ref="P3:P7" si="5">D3*I3</f>
        <v>5625</v>
      </c>
      <c r="Q3">
        <f t="shared" ref="Q3:Q7" si="6">D3*H3</f>
        <v>375</v>
      </c>
    </row>
    <row r="4" spans="1:17" x14ac:dyDescent="0.55000000000000004">
      <c r="A4" t="s">
        <v>6</v>
      </c>
      <c r="B4">
        <v>0</v>
      </c>
      <c r="C4">
        <v>0</v>
      </c>
      <c r="D4">
        <v>30</v>
      </c>
      <c r="E4">
        <v>25</v>
      </c>
      <c r="F4">
        <f t="shared" si="0"/>
        <v>25</v>
      </c>
      <c r="G4">
        <f t="shared" si="1"/>
        <v>1.2</v>
      </c>
      <c r="H4">
        <f t="shared" si="2"/>
        <v>25</v>
      </c>
      <c r="I4">
        <f t="shared" si="3"/>
        <v>625</v>
      </c>
      <c r="J4">
        <f t="shared" si="3"/>
        <v>15625</v>
      </c>
      <c r="K4">
        <f t="shared" si="3"/>
        <v>390625</v>
      </c>
      <c r="L4">
        <f t="shared" si="3"/>
        <v>9765625</v>
      </c>
      <c r="M4">
        <f t="shared" si="3"/>
        <v>244140625</v>
      </c>
      <c r="O4">
        <f t="shared" si="4"/>
        <v>468750</v>
      </c>
      <c r="P4">
        <f t="shared" si="5"/>
        <v>18750</v>
      </c>
      <c r="Q4">
        <f>D4*H4</f>
        <v>750</v>
      </c>
    </row>
    <row r="5" spans="1:17" x14ac:dyDescent="0.55000000000000004">
      <c r="A5" t="s">
        <v>7</v>
      </c>
      <c r="B5">
        <v>0</v>
      </c>
      <c r="C5">
        <v>0</v>
      </c>
      <c r="D5">
        <v>46</v>
      </c>
      <c r="E5">
        <v>31</v>
      </c>
      <c r="F5">
        <f t="shared" si="0"/>
        <v>31</v>
      </c>
      <c r="G5">
        <f t="shared" si="1"/>
        <v>1.4838709677419355</v>
      </c>
      <c r="H5">
        <f t="shared" si="2"/>
        <v>31</v>
      </c>
      <c r="I5">
        <f t="shared" si="3"/>
        <v>961</v>
      </c>
      <c r="J5">
        <f t="shared" si="3"/>
        <v>29791</v>
      </c>
      <c r="K5">
        <f t="shared" si="3"/>
        <v>923521</v>
      </c>
      <c r="L5">
        <f t="shared" si="3"/>
        <v>28629151</v>
      </c>
      <c r="M5">
        <f t="shared" si="3"/>
        <v>887503681</v>
      </c>
      <c r="O5">
        <f t="shared" si="4"/>
        <v>1370386</v>
      </c>
      <c r="P5">
        <f t="shared" si="5"/>
        <v>44206</v>
      </c>
      <c r="Q5">
        <f t="shared" si="6"/>
        <v>1426</v>
      </c>
    </row>
    <row r="6" spans="1:17" x14ac:dyDescent="0.55000000000000004">
      <c r="A6" t="s">
        <v>8</v>
      </c>
      <c r="B6">
        <v>0</v>
      </c>
      <c r="C6">
        <v>0</v>
      </c>
      <c r="D6">
        <v>55</v>
      </c>
      <c r="E6">
        <v>38</v>
      </c>
      <c r="F6">
        <f t="shared" si="0"/>
        <v>38</v>
      </c>
      <c r="G6">
        <f t="shared" si="1"/>
        <v>1.4473684210526316</v>
      </c>
      <c r="H6">
        <f t="shared" si="2"/>
        <v>38</v>
      </c>
      <c r="I6">
        <f t="shared" si="3"/>
        <v>1444</v>
      </c>
      <c r="J6">
        <f t="shared" si="3"/>
        <v>54872</v>
      </c>
      <c r="K6">
        <f t="shared" si="3"/>
        <v>2085136</v>
      </c>
      <c r="L6">
        <f t="shared" si="3"/>
        <v>79235168</v>
      </c>
      <c r="M6">
        <f t="shared" si="3"/>
        <v>3010936384</v>
      </c>
      <c r="O6">
        <f t="shared" si="4"/>
        <v>3017960</v>
      </c>
      <c r="P6">
        <f t="shared" si="5"/>
        <v>79420</v>
      </c>
      <c r="Q6">
        <f t="shared" si="6"/>
        <v>2090</v>
      </c>
    </row>
    <row r="7" spans="1:17" x14ac:dyDescent="0.55000000000000004">
      <c r="A7" t="s">
        <v>9</v>
      </c>
      <c r="B7">
        <v>43.46</v>
      </c>
      <c r="C7">
        <v>-123.54</v>
      </c>
      <c r="D7">
        <v>67.5</v>
      </c>
      <c r="E7">
        <v>49</v>
      </c>
      <c r="F7">
        <f t="shared" si="0"/>
        <v>49</v>
      </c>
      <c r="G7">
        <f t="shared" si="1"/>
        <v>1.3775510204081634</v>
      </c>
      <c r="H7">
        <f t="shared" si="2"/>
        <v>49</v>
      </c>
      <c r="I7">
        <f t="shared" si="3"/>
        <v>2401</v>
      </c>
      <c r="J7">
        <f t="shared" si="3"/>
        <v>117649</v>
      </c>
      <c r="K7">
        <f t="shared" si="3"/>
        <v>5764801</v>
      </c>
      <c r="L7">
        <f t="shared" si="3"/>
        <v>282475249</v>
      </c>
      <c r="M7">
        <f t="shared" si="3"/>
        <v>13841287201</v>
      </c>
      <c r="O7">
        <f t="shared" si="4"/>
        <v>7941307.5</v>
      </c>
      <c r="P7">
        <f t="shared" si="5"/>
        <v>162067.5</v>
      </c>
      <c r="Q7">
        <f t="shared" si="6"/>
        <v>3307.5</v>
      </c>
    </row>
    <row r="8" spans="1:17" x14ac:dyDescent="0.55000000000000004">
      <c r="E8">
        <v>1</v>
      </c>
      <c r="H8">
        <f t="shared" ref="H8:M8" si="7">SUM(H2:H7)</f>
        <v>170</v>
      </c>
      <c r="I8">
        <f t="shared" si="7"/>
        <v>5800</v>
      </c>
      <c r="J8">
        <f t="shared" si="7"/>
        <v>223040</v>
      </c>
      <c r="K8">
        <f t="shared" si="7"/>
        <v>9235444</v>
      </c>
      <c r="L8">
        <f t="shared" si="7"/>
        <v>401113400</v>
      </c>
      <c r="M8">
        <f t="shared" si="7"/>
        <v>17998244500</v>
      </c>
      <c r="O8">
        <f>SUM(O2:O7)</f>
        <v>12910426.5</v>
      </c>
      <c r="P8">
        <f>SUM(P2:P7)</f>
        <v>312372.5</v>
      </c>
      <c r="Q8">
        <f>SUM(Q2:Q7)</f>
        <v>8140.5</v>
      </c>
    </row>
    <row r="10" spans="1:17" x14ac:dyDescent="0.55000000000000004">
      <c r="A10" t="s">
        <v>16</v>
      </c>
      <c r="E10" t="s">
        <v>17</v>
      </c>
      <c r="G10" t="s">
        <v>21</v>
      </c>
    </row>
    <row r="11" spans="1:17" x14ac:dyDescent="0.55000000000000004">
      <c r="A11">
        <f>M8/3</f>
        <v>5999414833.333333</v>
      </c>
      <c r="B11">
        <f>L8/2</f>
        <v>200556700</v>
      </c>
      <c r="C11">
        <f>K8</f>
        <v>9235444</v>
      </c>
      <c r="E11">
        <f>O8</f>
        <v>12910426.5</v>
      </c>
      <c r="G11" cm="1">
        <f t="array" ref="G11:G13">MMULT(MINVERSE(A11:C13),E11:E13)</f>
        <v>-1.7667950002470123E-4</v>
      </c>
      <c r="I11" t="s">
        <v>22</v>
      </c>
      <c r="J11">
        <f>G11/G13</f>
        <v>-1.2817262806499874E-4</v>
      </c>
    </row>
    <row r="12" spans="1:17" x14ac:dyDescent="0.55000000000000004">
      <c r="A12">
        <f>L8/3</f>
        <v>133704466.66666667</v>
      </c>
      <c r="B12">
        <f>K8/2</f>
        <v>4617722</v>
      </c>
      <c r="C12">
        <f>J8</f>
        <v>223040</v>
      </c>
      <c r="E12">
        <f>P8</f>
        <v>312372.5</v>
      </c>
      <c r="G12">
        <v>6.1818258482464472E-3</v>
      </c>
      <c r="I12" t="s">
        <v>17</v>
      </c>
      <c r="J12">
        <f>G12/J13</f>
        <v>4.4846225232645079E-3</v>
      </c>
    </row>
    <row r="13" spans="1:17" x14ac:dyDescent="0.55000000000000004">
      <c r="A13">
        <f>K8/3</f>
        <v>3078481.3333333335</v>
      </c>
      <c r="B13">
        <f>J8/2</f>
        <v>111520</v>
      </c>
      <c r="C13">
        <f>I8</f>
        <v>5800</v>
      </c>
      <c r="E13">
        <f>Q8</f>
        <v>8140.5</v>
      </c>
      <c r="G13">
        <v>1.3784495386573781</v>
      </c>
      <c r="I13" t="s">
        <v>23</v>
      </c>
      <c r="J13">
        <f>G13</f>
        <v>1.3784495386573781</v>
      </c>
    </row>
    <row r="14" spans="1:17" x14ac:dyDescent="0.55000000000000004">
      <c r="E14" t="s">
        <v>26</v>
      </c>
    </row>
    <row r="15" spans="1:17" x14ac:dyDescent="0.55000000000000004">
      <c r="E15" cm="1">
        <f t="array" ref="E15:E17">MMULT(A11:C13,G11:G13)</f>
        <v>12910426.50000095</v>
      </c>
    </row>
    <row r="16" spans="1:17" x14ac:dyDescent="0.55000000000000004">
      <c r="E16">
        <v>312372.50000002189</v>
      </c>
      <c r="J16" t="s">
        <v>27</v>
      </c>
    </row>
    <row r="17" spans="2:12" x14ac:dyDescent="0.55000000000000004">
      <c r="E17">
        <v>8140.5000000005275</v>
      </c>
      <c r="J17">
        <f>J11/J13</f>
        <v>-9.2983184708988326E-5</v>
      </c>
    </row>
    <row r="18" spans="2:12" x14ac:dyDescent="0.55000000000000004">
      <c r="J18">
        <f>J12/J13</f>
        <v>3.2533817143807595E-3</v>
      </c>
    </row>
    <row r="19" spans="2:12" x14ac:dyDescent="0.55000000000000004">
      <c r="J19">
        <v>1</v>
      </c>
    </row>
    <row r="23" spans="2:12" x14ac:dyDescent="0.55000000000000004">
      <c r="B23">
        <v>0</v>
      </c>
      <c r="C23">
        <v>5</v>
      </c>
      <c r="D23">
        <v>10</v>
      </c>
      <c r="E23">
        <v>15</v>
      </c>
      <c r="F23">
        <v>20</v>
      </c>
      <c r="G23">
        <v>25</v>
      </c>
      <c r="H23">
        <v>30</v>
      </c>
      <c r="I23">
        <v>35</v>
      </c>
      <c r="J23">
        <v>40</v>
      </c>
      <c r="K23">
        <v>45</v>
      </c>
      <c r="L23">
        <v>50</v>
      </c>
    </row>
    <row r="24" spans="2:12" x14ac:dyDescent="0.55000000000000004">
      <c r="B24">
        <f t="shared" ref="B24:L24" si="8">$G11*B23*B23+$G12*B23+$G13</f>
        <v>1.3784495386573781</v>
      </c>
      <c r="C24">
        <f t="shared" si="8"/>
        <v>1.4049416803979928</v>
      </c>
      <c r="D24">
        <f t="shared" si="8"/>
        <v>1.4225998471373724</v>
      </c>
      <c r="E24">
        <f t="shared" si="8"/>
        <v>1.4314240388755171</v>
      </c>
      <c r="F24">
        <f t="shared" si="8"/>
        <v>1.4314142556124265</v>
      </c>
      <c r="G24">
        <f t="shared" si="8"/>
        <v>1.422570497348101</v>
      </c>
      <c r="H24">
        <f t="shared" si="8"/>
        <v>1.4048927640825404</v>
      </c>
      <c r="I24">
        <f t="shared" si="8"/>
        <v>1.3783810558157448</v>
      </c>
      <c r="J24">
        <f t="shared" si="8"/>
        <v>1.343035372547714</v>
      </c>
      <c r="K24">
        <f t="shared" si="8"/>
        <v>1.2988557142784483</v>
      </c>
      <c r="L24">
        <f t="shared" si="8"/>
        <v>1.2458420810079474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White</cp:lastModifiedBy>
  <dcterms:created xsi:type="dcterms:W3CDTF">2026-04-04T17:53:36Z</dcterms:created>
  <dcterms:modified xsi:type="dcterms:W3CDTF">2026-04-05T22:31:10Z</dcterms:modified>
</cp:coreProperties>
</file>